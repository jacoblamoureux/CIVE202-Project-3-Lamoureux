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d.docs.live.net/c49b30d93d0cb452/Classes/25-26 Semester 2/CIVE 202/Project 3/"/>
    </mc:Choice>
  </mc:AlternateContent>
  <xr:revisionPtr revIDLastSave="102" documentId="8_{04A7A1B6-02D7-47D9-9021-F7AFC465623A}" xr6:coauthVersionLast="47" xr6:coauthVersionMax="47" xr10:uidLastSave="{83AD684D-EDBA-42FA-AA02-55A43881B2B8}"/>
  <bookViews>
    <workbookView xWindow="-108" yWindow="-108" windowWidth="23256" windowHeight="12456"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3" i="11" l="1"/>
  <c r="E16" i="11"/>
  <c r="E17" i="11"/>
  <c r="E18" i="11"/>
  <c r="E15" i="11"/>
  <c r="E14" i="11"/>
  <c r="E10" i="11"/>
  <c r="H7" i="11"/>
  <c r="I5" i="11" l="1"/>
  <c r="H26" i="11"/>
  <c r="H25" i="11"/>
  <c r="H19" i="11"/>
  <c r="H12" i="11"/>
  <c r="H8" i="11"/>
  <c r="H20" i="11" l="1"/>
  <c r="H21" i="11"/>
  <c r="H9" i="11"/>
  <c r="I6" i="11"/>
  <c r="H24" i="11" l="1"/>
  <c r="H10" i="11"/>
  <c r="H22" i="11"/>
  <c r="H13" i="11"/>
  <c r="J5" i="11"/>
  <c r="K5" i="11" s="1"/>
  <c r="L5" i="11" s="1"/>
  <c r="M5" i="11" s="1"/>
  <c r="N5" i="11" s="1"/>
  <c r="O5" i="11" s="1"/>
  <c r="P5" i="11" s="1"/>
  <c r="I4" i="11"/>
  <c r="H23" i="11" l="1"/>
  <c r="H14" i="11"/>
  <c r="H11" i="11"/>
  <c r="P4" i="11"/>
  <c r="Q5" i="11"/>
  <c r="R5" i="11" s="1"/>
  <c r="S5" i="11" s="1"/>
  <c r="T5" i="11" s="1"/>
  <c r="U5" i="11" s="1"/>
  <c r="V5" i="11" s="1"/>
  <c r="W5" i="11" s="1"/>
  <c r="J6" i="11"/>
  <c r="H18" i="11" l="1"/>
  <c r="H16" i="11"/>
  <c r="H15" i="1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<sst xmlns="http://schemas.openxmlformats.org/spreadsheetml/2006/main" count="58" uniqueCount="45">
  <si>
    <t>Project start:</t>
  </si>
  <si>
    <t>VanArsdel, Ltd.</t>
  </si>
  <si>
    <t>Project lead</t>
  </si>
  <si>
    <t>Display week:</t>
  </si>
  <si>
    <t>SIMPLE GANTT CHART by Vertex42.com</t>
  </si>
  <si>
    <t>https://www.vertex42.com/ExcelTemplates/simple-gantt-chart.html</t>
  </si>
  <si>
    <t>TASK</t>
  </si>
  <si>
    <t>ASSIGNED TO</t>
  </si>
  <si>
    <t>PROGRESS</t>
  </si>
  <si>
    <t>START</t>
  </si>
  <si>
    <t>END</t>
  </si>
  <si>
    <t xml:space="preserve">Do not delete this row. This row is hidden to preserve a formula that is used to highlight the current day within the project schedule. </t>
  </si>
  <si>
    <t>Insert new rows ABOVE this one</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</si>
  <si>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</si>
  <si>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</si>
  <si>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</si>
  <si>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</si>
  <si>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</si>
  <si>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</si>
  <si>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</si>
  <si>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</si>
  <si>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</si>
  <si>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</si>
  <si>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</si>
  <si>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</si>
  <si>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</si>
  <si>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CIVE 202 Project #3</t>
  </si>
  <si>
    <t>Jacob Lamoureux</t>
  </si>
  <si>
    <t>Github</t>
  </si>
  <si>
    <t>Create a github</t>
  </si>
  <si>
    <t>Create a readme</t>
  </si>
  <si>
    <t xml:space="preserve">Jacob </t>
  </si>
  <si>
    <t>Code Document</t>
  </si>
  <si>
    <t>Learn skills in lab</t>
  </si>
  <si>
    <t>Create code document</t>
  </si>
  <si>
    <t xml:space="preserve">Bar chart </t>
  </si>
  <si>
    <t>Histogram</t>
  </si>
  <si>
    <t>Time series plots</t>
  </si>
  <si>
    <t>Deliverables</t>
  </si>
  <si>
    <t>Scope of work</t>
  </si>
  <si>
    <t>Gantt Chart</t>
  </si>
  <si>
    <t>Time Sheet</t>
  </si>
  <si>
    <t>Annotated code document</t>
  </si>
  <si>
    <t>Written report</t>
  </si>
  <si>
    <t>Jacob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</si>
</sst>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2"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sz val="11"/>
      <color rgb="FF1D2129"/>
      <name val="Arial"/>
      <family val="2"/>
      <scheme val="minor"/>
    </font>
    <font>
      <u/>
      <sz val="11"/>
      <color indexed="12"/>
      <name val="Arial"/>
      <family val="2"/>
      <scheme val="minor"/>
    </font>
    <font>
      <b/>
      <sz val="26"/>
      <color theme="9"/>
      <name val="Arial Black"/>
      <family val="2"/>
      <scheme val="major"/>
    </font>
  </fonts>
  <fills count="11">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0" tint="-4.9989318521683403E-2"/>
        <bgColor theme="4"/>
      </patternFill>
    </fill>
    <fill>
      <patternFill patternType="solid">
        <fgColor theme="0" tint="-0.14996795556505021"/>
        <bgColor indexed="64"/>
      </patternFill>
    </fill>
  </fills>
  <borders count="20">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09">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0" borderId="18" xfId="0" applyNumberFormat="1" applyFont="1" applyFill="1" applyBorder="1" applyAlignment="1">
      <alignment horizontal="center" vertical="center"/>
    </xf>
    <xf numFmtId="167" fontId="21" fillId="10" borderId="16" xfId="0" applyNumberFormat="1" applyFont="1" applyFill="1" applyBorder="1" applyAlignment="1">
      <alignment horizontal="center" vertical="center"/>
    </xf>
    <xf numFmtId="167" fontId="21" fillId="10" borderId="17" xfId="0" applyNumberFormat="1" applyFont="1" applyFill="1" applyBorder="1" applyAlignment="1">
      <alignment horizontal="center" vertical="center"/>
    </xf>
    <xf numFmtId="0" fontId="22" fillId="2" borderId="15" xfId="0" applyFont="1" applyFill="1" applyBorder="1" applyAlignment="1">
      <alignment horizontal="center" vertical="center" shrinkToFit="1"/>
    </xf>
    <xf numFmtId="0" fontId="22" fillId="2" borderId="12" xfId="0" applyFont="1" applyFill="1" applyBorder="1" applyAlignment="1">
      <alignment horizontal="center" vertical="center" shrinkToFit="1"/>
    </xf>
    <xf numFmtId="0" fontId="22" fillId="2" borderId="13"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0"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9"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29" fillId="0" borderId="0" xfId="0" applyFont="1" applyAlignment="1">
      <alignment horizontal="left" vertical="top" wrapText="1" indent="1"/>
    </xf>
    <xf numFmtId="0" fontId="0" fillId="0" borderId="0" xfId="0" applyAlignment="1">
      <alignment horizontal="left" vertical="top" wrapText="1" indent="1"/>
    </xf>
    <xf numFmtId="0" fontId="30" fillId="0" borderId="0" xfId="1" applyFont="1" applyAlignment="1" applyProtection="1">
      <alignment horizontal="left" vertical="top" indent="1"/>
    </xf>
    <xf numFmtId="0" fontId="1" fillId="0" borderId="0" xfId="0" applyFont="1" applyAlignment="1">
      <alignment horizontal="left" vertical="top" indent="1"/>
    </xf>
    <xf numFmtId="0" fontId="31" fillId="0" borderId="0" xfId="5" applyFont="1" applyAlignment="1">
      <alignment horizontal="left"/>
    </xf>
    <xf numFmtId="0" fontId="13" fillId="0" borderId="0" xfId="3" applyAlignment="1">
      <alignment wrapText="1"/>
    </xf>
    <xf numFmtId="0" fontId="20" fillId="9" borderId="14" xfId="0" applyFont="1" applyFill="1" applyBorder="1" applyAlignment="1">
      <alignment horizontal="left" vertical="center" indent="1"/>
    </xf>
    <xf numFmtId="0" fontId="4" fillId="2" borderId="19" xfId="0" applyFont="1" applyFill="1" applyBorder="1" applyAlignment="1">
      <alignment horizontal="left" indent="1"/>
    </xf>
    <xf numFmtId="0" fontId="20" fillId="9" borderId="14" xfId="0" applyFont="1" applyFill="1" applyBorder="1" applyAlignment="1">
      <alignment vertical="center"/>
    </xf>
    <xf numFmtId="0" fontId="4" fillId="2" borderId="19" xfId="0" applyFont="1" applyFill="1" applyBorder="1"/>
    <xf numFmtId="0" fontId="20" fillId="9" borderId="14" xfId="0" applyFont="1" applyFill="1" applyBorder="1" applyAlignment="1">
      <alignment horizontal="center" vertical="center"/>
    </xf>
    <xf numFmtId="0" fontId="27" fillId="0" borderId="0" xfId="0" applyFont="1" applyAlignment="1">
      <alignment horizontal="left"/>
    </xf>
    <xf numFmtId="0" fontId="28" fillId="0" borderId="0" xfId="0" applyFont="1"/>
    <xf numFmtId="165" fontId="27" fillId="0" borderId="0" xfId="9" applyFont="1" applyBorder="1" applyAlignment="1">
      <alignment horizontal="left"/>
    </xf>
    <xf numFmtId="0" fontId="26" fillId="0" borderId="0" xfId="8" applyFont="1" applyAlignment="1">
      <alignment horizontal="left"/>
    </xf>
    <xf numFmtId="0" fontId="4" fillId="0" borderId="0" xfId="0" applyFont="1"/>
    <xf numFmtId="166" fontId="19" fillId="2" borderId="11" xfId="0" applyNumberFormat="1" applyFont="1" applyFill="1" applyBorder="1" applyAlignment="1">
      <alignment horizontal="center" vertical="center" wrapText="1"/>
    </xf>
    <xf numFmtId="166" fontId="19" fillId="2" borderId="17" xfId="0" applyNumberFormat="1" applyFont="1" applyFill="1" applyBorder="1" applyAlignment="1">
      <alignment horizontal="center" vertical="center" wrapText="1"/>
    </xf>
    <xf numFmtId="166" fontId="19" fillId="2" borderId="16" xfId="0" applyNumberFormat="1" applyFont="1" applyFill="1" applyBorder="1" applyAlignment="1">
      <alignment horizontal="center" vertical="center"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6">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5"/>
      <tableStyleElement type="headerRow" dxfId="14"/>
      <tableStyleElement type="totalRow" dxfId="13"/>
      <tableStyleElement type="firstColumn" dxfId="12"/>
      <tableStyleElement type="lastColumn" dxfId="11"/>
      <tableStyleElement type="firstRowStripe" dxfId="10"/>
      <tableStyleElement type="secondRowStripe" dxfId="9"/>
      <tableStyleElement type="firstColumnStripe" dxfId="8"/>
      <tableStyleElement type="secondColumn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29"/>
  <sheetViews>
    <sheetView showGridLines="0" tabSelected="1" showRuler="0" zoomScale="80" zoomScaleNormal="80" zoomScalePageLayoutView="70" workbookViewId="0">
      <selection activeCell="Q2" sqref="Q2:Z2"/>
    </sheetView>
  </sheetViews>
  <sheetFormatPr defaultColWidth="8.59765625" defaultRowHeight="30" customHeight="1" x14ac:dyDescent="0.25"/>
  <cols>
    <col min="1" max="1" width="2.59765625" style="13" customWidth="1"/>
    <col min="2" max="2" width="45.3984375" customWidth="1"/>
    <col min="3" max="3" width="16.59765625" customWidth="1"/>
    <col min="4" max="4" width="10.59765625" customWidth="1"/>
    <col min="5" max="5" width="10.59765625" style="2" customWidth="1"/>
    <col min="6" max="6" width="10.59765625" customWidth="1"/>
    <col min="7" max="7" width="2.59765625" customWidth="1"/>
    <col min="8" max="8" width="6" hidden="1" customWidth="1"/>
    <col min="9" max="65" width="2.59765625" customWidth="1"/>
  </cols>
  <sheetData>
    <row r="1" spans="1:64" ht="90" customHeight="1" x14ac:dyDescent="0.9">
      <c r="A1" s="14"/>
      <c r="B1" s="94" t="s">
        <v>26</v>
      </c>
      <c r="C1" s="18"/>
      <c r="D1" s="19"/>
      <c r="E1" s="20"/>
      <c r="F1" s="21"/>
      <c r="H1" s="1"/>
      <c r="I1" s="104" t="s">
        <v>0</v>
      </c>
      <c r="J1" s="105"/>
      <c r="K1" s="105"/>
      <c r="L1" s="105"/>
      <c r="M1" s="105"/>
      <c r="N1" s="105"/>
      <c r="O1" s="105"/>
      <c r="P1" s="24"/>
      <c r="Q1" s="103">
        <v>46083</v>
      </c>
      <c r="R1" s="102"/>
      <c r="S1" s="102"/>
      <c r="T1" s="102"/>
      <c r="U1" s="102"/>
      <c r="V1" s="102"/>
      <c r="W1" s="102"/>
      <c r="X1" s="102"/>
      <c r="Y1" s="102"/>
      <c r="Z1" s="102"/>
    </row>
    <row r="2" spans="1:64" ht="30" customHeight="1" x14ac:dyDescent="0.6">
      <c r="B2" s="85" t="s">
        <v>1</v>
      </c>
      <c r="C2" s="86" t="s">
        <v>2</v>
      </c>
      <c r="D2" s="22" t="s">
        <v>27</v>
      </c>
      <c r="E2" s="23"/>
      <c r="F2" s="22"/>
      <c r="I2" s="104" t="s">
        <v>3</v>
      </c>
      <c r="J2" s="105"/>
      <c r="K2" s="105"/>
      <c r="L2" s="105"/>
      <c r="M2" s="105"/>
      <c r="N2" s="105"/>
      <c r="O2" s="105"/>
      <c r="P2" s="24"/>
      <c r="Q2" s="101">
        <v>1</v>
      </c>
      <c r="R2" s="102"/>
      <c r="S2" s="102"/>
      <c r="T2" s="102"/>
      <c r="U2" s="102"/>
      <c r="V2" s="102"/>
      <c r="W2" s="102"/>
      <c r="X2" s="102"/>
      <c r="Y2" s="102"/>
      <c r="Z2" s="102"/>
    </row>
    <row r="3" spans="1:64" s="26" customFormat="1" ht="30" customHeight="1" x14ac:dyDescent="0.25">
      <c r="A3" s="13"/>
      <c r="B3" s="25" t="s">
        <v>4</v>
      </c>
      <c r="D3" s="27"/>
      <c r="E3" s="28"/>
    </row>
    <row r="4" spans="1:64" s="26" customFormat="1" ht="30" customHeight="1" x14ac:dyDescent="0.25">
      <c r="A4" s="14"/>
      <c r="B4" s="29" t="s">
        <v>5</v>
      </c>
      <c r="E4" s="30"/>
      <c r="I4" s="108">
        <f>I5</f>
        <v>46083</v>
      </c>
      <c r="J4" s="106"/>
      <c r="K4" s="106"/>
      <c r="L4" s="106"/>
      <c r="M4" s="106"/>
      <c r="N4" s="106"/>
      <c r="O4" s="106"/>
      <c r="P4" s="106">
        <f>P5</f>
        <v>46090</v>
      </c>
      <c r="Q4" s="106"/>
      <c r="R4" s="106"/>
      <c r="S4" s="106"/>
      <c r="T4" s="106"/>
      <c r="U4" s="106"/>
      <c r="V4" s="106"/>
      <c r="W4" s="106">
        <f>W5</f>
        <v>46097</v>
      </c>
      <c r="X4" s="106"/>
      <c r="Y4" s="106"/>
      <c r="Z4" s="106"/>
      <c r="AA4" s="106"/>
      <c r="AB4" s="106"/>
      <c r="AC4" s="106"/>
      <c r="AD4" s="106">
        <f>AD5</f>
        <v>46104</v>
      </c>
      <c r="AE4" s="106"/>
      <c r="AF4" s="106"/>
      <c r="AG4" s="106"/>
      <c r="AH4" s="106"/>
      <c r="AI4" s="106"/>
      <c r="AJ4" s="106"/>
      <c r="AK4" s="106">
        <f>AK5</f>
        <v>46111</v>
      </c>
      <c r="AL4" s="106"/>
      <c r="AM4" s="106"/>
      <c r="AN4" s="106"/>
      <c r="AO4" s="106"/>
      <c r="AP4" s="106"/>
      <c r="AQ4" s="106"/>
      <c r="AR4" s="106">
        <f>AR5</f>
        <v>46118</v>
      </c>
      <c r="AS4" s="106"/>
      <c r="AT4" s="106"/>
      <c r="AU4" s="106"/>
      <c r="AV4" s="106"/>
      <c r="AW4" s="106"/>
      <c r="AX4" s="106"/>
      <c r="AY4" s="106">
        <f>AY5</f>
        <v>46125</v>
      </c>
      <c r="AZ4" s="106"/>
      <c r="BA4" s="106"/>
      <c r="BB4" s="106"/>
      <c r="BC4" s="106"/>
      <c r="BD4" s="106"/>
      <c r="BE4" s="106"/>
      <c r="BF4" s="106">
        <f>BF5</f>
        <v>46132</v>
      </c>
      <c r="BG4" s="106"/>
      <c r="BH4" s="106"/>
      <c r="BI4" s="106"/>
      <c r="BJ4" s="106"/>
      <c r="BK4" s="106"/>
      <c r="BL4" s="107"/>
    </row>
    <row r="5" spans="1:64" s="26" customFormat="1" ht="15" customHeight="1" x14ac:dyDescent="0.25">
      <c r="A5" s="95"/>
      <c r="B5" s="96" t="s">
        <v>6</v>
      </c>
      <c r="C5" s="98" t="s">
        <v>7</v>
      </c>
      <c r="D5" s="100" t="s">
        <v>8</v>
      </c>
      <c r="E5" s="100" t="s">
        <v>9</v>
      </c>
      <c r="F5" s="100" t="s">
        <v>10</v>
      </c>
      <c r="I5" s="31">
        <f>Project_Start-WEEKDAY(Project_Start,1)+2+7*(Display_Week-1)</f>
        <v>46083</v>
      </c>
      <c r="J5" s="31">
        <f>I5+1</f>
        <v>46084</v>
      </c>
      <c r="K5" s="31">
        <f t="shared" ref="K5:AX5" si="0">J5+1</f>
        <v>46085</v>
      </c>
      <c r="L5" s="31">
        <f t="shared" si="0"/>
        <v>46086</v>
      </c>
      <c r="M5" s="31">
        <f t="shared" si="0"/>
        <v>46087</v>
      </c>
      <c r="N5" s="31">
        <f t="shared" si="0"/>
        <v>46088</v>
      </c>
      <c r="O5" s="32">
        <f t="shared" si="0"/>
        <v>46089</v>
      </c>
      <c r="P5" s="33">
        <f>O5+1</f>
        <v>46090</v>
      </c>
      <c r="Q5" s="31">
        <f>P5+1</f>
        <v>46091</v>
      </c>
      <c r="R5" s="31">
        <f t="shared" si="0"/>
        <v>46092</v>
      </c>
      <c r="S5" s="31">
        <f t="shared" si="0"/>
        <v>46093</v>
      </c>
      <c r="T5" s="31">
        <f t="shared" si="0"/>
        <v>46094</v>
      </c>
      <c r="U5" s="31">
        <f t="shared" si="0"/>
        <v>46095</v>
      </c>
      <c r="V5" s="32">
        <f t="shared" si="0"/>
        <v>46096</v>
      </c>
      <c r="W5" s="33">
        <f>V5+1</f>
        <v>46097</v>
      </c>
      <c r="X5" s="31">
        <f>W5+1</f>
        <v>46098</v>
      </c>
      <c r="Y5" s="31">
        <f t="shared" si="0"/>
        <v>46099</v>
      </c>
      <c r="Z5" s="31">
        <f t="shared" si="0"/>
        <v>46100</v>
      </c>
      <c r="AA5" s="31">
        <f t="shared" si="0"/>
        <v>46101</v>
      </c>
      <c r="AB5" s="31">
        <f t="shared" si="0"/>
        <v>46102</v>
      </c>
      <c r="AC5" s="32">
        <f t="shared" si="0"/>
        <v>46103</v>
      </c>
      <c r="AD5" s="33">
        <f>AC5+1</f>
        <v>46104</v>
      </c>
      <c r="AE5" s="31">
        <f>AD5+1</f>
        <v>46105</v>
      </c>
      <c r="AF5" s="31">
        <f t="shared" si="0"/>
        <v>46106</v>
      </c>
      <c r="AG5" s="31">
        <f t="shared" si="0"/>
        <v>46107</v>
      </c>
      <c r="AH5" s="31">
        <f t="shared" si="0"/>
        <v>46108</v>
      </c>
      <c r="AI5" s="31">
        <f t="shared" si="0"/>
        <v>46109</v>
      </c>
      <c r="AJ5" s="32">
        <f t="shared" si="0"/>
        <v>46110</v>
      </c>
      <c r="AK5" s="33">
        <f>AJ5+1</f>
        <v>46111</v>
      </c>
      <c r="AL5" s="31">
        <f>AK5+1</f>
        <v>46112</v>
      </c>
      <c r="AM5" s="31">
        <f t="shared" si="0"/>
        <v>46113</v>
      </c>
      <c r="AN5" s="31">
        <f t="shared" si="0"/>
        <v>46114</v>
      </c>
      <c r="AO5" s="31">
        <f t="shared" si="0"/>
        <v>46115</v>
      </c>
      <c r="AP5" s="31">
        <f t="shared" si="0"/>
        <v>46116</v>
      </c>
      <c r="AQ5" s="32">
        <f t="shared" si="0"/>
        <v>46117</v>
      </c>
      <c r="AR5" s="33">
        <f>AQ5+1</f>
        <v>46118</v>
      </c>
      <c r="AS5" s="31">
        <f>AR5+1</f>
        <v>46119</v>
      </c>
      <c r="AT5" s="31">
        <f t="shared" si="0"/>
        <v>46120</v>
      </c>
      <c r="AU5" s="31">
        <f t="shared" si="0"/>
        <v>46121</v>
      </c>
      <c r="AV5" s="31">
        <f t="shared" si="0"/>
        <v>46122</v>
      </c>
      <c r="AW5" s="31">
        <f t="shared" si="0"/>
        <v>46123</v>
      </c>
      <c r="AX5" s="32">
        <f t="shared" si="0"/>
        <v>46124</v>
      </c>
      <c r="AY5" s="33">
        <f>AX5+1</f>
        <v>46125</v>
      </c>
      <c r="AZ5" s="31">
        <f>AY5+1</f>
        <v>46126</v>
      </c>
      <c r="BA5" s="31">
        <f t="shared" ref="BA5:BE5" si="1">AZ5+1</f>
        <v>46127</v>
      </c>
      <c r="BB5" s="31">
        <f t="shared" si="1"/>
        <v>46128</v>
      </c>
      <c r="BC5" s="31">
        <f t="shared" si="1"/>
        <v>46129</v>
      </c>
      <c r="BD5" s="31">
        <f t="shared" si="1"/>
        <v>46130</v>
      </c>
      <c r="BE5" s="32">
        <f t="shared" si="1"/>
        <v>46131</v>
      </c>
      <c r="BF5" s="33">
        <f>BE5+1</f>
        <v>46132</v>
      </c>
      <c r="BG5" s="31">
        <f>BF5+1</f>
        <v>46133</v>
      </c>
      <c r="BH5" s="31">
        <f t="shared" ref="BH5:BL5" si="2">BG5+1</f>
        <v>46134</v>
      </c>
      <c r="BI5" s="31">
        <f t="shared" si="2"/>
        <v>46135</v>
      </c>
      <c r="BJ5" s="31">
        <f t="shared" si="2"/>
        <v>46136</v>
      </c>
      <c r="BK5" s="31">
        <f t="shared" si="2"/>
        <v>46137</v>
      </c>
      <c r="BL5" s="31">
        <f t="shared" si="2"/>
        <v>46138</v>
      </c>
    </row>
    <row r="6" spans="1:64" s="26" customFormat="1" ht="15" customHeight="1" thickBot="1" x14ac:dyDescent="0.3">
      <c r="A6" s="95"/>
      <c r="B6" s="97"/>
      <c r="C6" s="99"/>
      <c r="D6" s="99"/>
      <c r="E6" s="99"/>
      <c r="F6" s="99"/>
      <c r="I6" s="34" t="str">
        <f t="shared" ref="I6:AN6" si="3">LEFT(TEXT(I5,"ddd"),1)</f>
        <v>M</v>
      </c>
      <c r="J6" s="35" t="str">
        <f t="shared" si="3"/>
        <v>T</v>
      </c>
      <c r="K6" s="35" t="str">
        <f t="shared" si="3"/>
        <v>W</v>
      </c>
      <c r="L6" s="35" t="str">
        <f t="shared" si="3"/>
        <v>T</v>
      </c>
      <c r="M6" s="35" t="str">
        <f t="shared" si="3"/>
        <v>F</v>
      </c>
      <c r="N6" s="35" t="str">
        <f t="shared" si="3"/>
        <v>S</v>
      </c>
      <c r="O6" s="35" t="str">
        <f t="shared" si="3"/>
        <v>S</v>
      </c>
      <c r="P6" s="35" t="str">
        <f t="shared" si="3"/>
        <v>M</v>
      </c>
      <c r="Q6" s="35" t="str">
        <f t="shared" si="3"/>
        <v>T</v>
      </c>
      <c r="R6" s="35" t="str">
        <f t="shared" si="3"/>
        <v>W</v>
      </c>
      <c r="S6" s="35" t="str">
        <f t="shared" si="3"/>
        <v>T</v>
      </c>
      <c r="T6" s="35" t="str">
        <f t="shared" si="3"/>
        <v>F</v>
      </c>
      <c r="U6" s="35" t="str">
        <f t="shared" si="3"/>
        <v>S</v>
      </c>
      <c r="V6" s="35" t="str">
        <f t="shared" si="3"/>
        <v>S</v>
      </c>
      <c r="W6" s="35" t="str">
        <f t="shared" si="3"/>
        <v>M</v>
      </c>
      <c r="X6" s="35" t="str">
        <f t="shared" si="3"/>
        <v>T</v>
      </c>
      <c r="Y6" s="35" t="str">
        <f t="shared" si="3"/>
        <v>W</v>
      </c>
      <c r="Z6" s="35" t="str">
        <f t="shared" si="3"/>
        <v>T</v>
      </c>
      <c r="AA6" s="35" t="str">
        <f t="shared" si="3"/>
        <v>F</v>
      </c>
      <c r="AB6" s="35" t="str">
        <f t="shared" si="3"/>
        <v>S</v>
      </c>
      <c r="AC6" s="35" t="str">
        <f t="shared" si="3"/>
        <v>S</v>
      </c>
      <c r="AD6" s="35" t="str">
        <f t="shared" si="3"/>
        <v>M</v>
      </c>
      <c r="AE6" s="35" t="str">
        <f t="shared" si="3"/>
        <v>T</v>
      </c>
      <c r="AF6" s="35" t="str">
        <f t="shared" si="3"/>
        <v>W</v>
      </c>
      <c r="AG6" s="35" t="str">
        <f t="shared" si="3"/>
        <v>T</v>
      </c>
      <c r="AH6" s="35" t="str">
        <f t="shared" si="3"/>
        <v>F</v>
      </c>
      <c r="AI6" s="35" t="str">
        <f t="shared" si="3"/>
        <v>S</v>
      </c>
      <c r="AJ6" s="35" t="str">
        <f t="shared" si="3"/>
        <v>S</v>
      </c>
      <c r="AK6" s="35" t="str">
        <f t="shared" si="3"/>
        <v>M</v>
      </c>
      <c r="AL6" s="35" t="str">
        <f t="shared" si="3"/>
        <v>T</v>
      </c>
      <c r="AM6" s="35" t="str">
        <f t="shared" si="3"/>
        <v>W</v>
      </c>
      <c r="AN6" s="35" t="str">
        <f t="shared" si="3"/>
        <v>T</v>
      </c>
      <c r="AO6" s="35" t="str">
        <f t="shared" ref="AO6:BL6" si="4">LEFT(TEXT(AO5,"ddd"),1)</f>
        <v>F</v>
      </c>
      <c r="AP6" s="35" t="str">
        <f t="shared" si="4"/>
        <v>S</v>
      </c>
      <c r="AQ6" s="35" t="str">
        <f t="shared" si="4"/>
        <v>S</v>
      </c>
      <c r="AR6" s="35" t="str">
        <f t="shared" si="4"/>
        <v>M</v>
      </c>
      <c r="AS6" s="35" t="str">
        <f t="shared" si="4"/>
        <v>T</v>
      </c>
      <c r="AT6" s="35" t="str">
        <f t="shared" si="4"/>
        <v>W</v>
      </c>
      <c r="AU6" s="35" t="str">
        <f t="shared" si="4"/>
        <v>T</v>
      </c>
      <c r="AV6" s="35" t="str">
        <f t="shared" si="4"/>
        <v>F</v>
      </c>
      <c r="AW6" s="35" t="str">
        <f t="shared" si="4"/>
        <v>S</v>
      </c>
      <c r="AX6" s="35" t="str">
        <f t="shared" si="4"/>
        <v>S</v>
      </c>
      <c r="AY6" s="35" t="str">
        <f t="shared" si="4"/>
        <v>M</v>
      </c>
      <c r="AZ6" s="35" t="str">
        <f t="shared" si="4"/>
        <v>T</v>
      </c>
      <c r="BA6" s="35" t="str">
        <f t="shared" si="4"/>
        <v>W</v>
      </c>
      <c r="BB6" s="35" t="str">
        <f t="shared" si="4"/>
        <v>T</v>
      </c>
      <c r="BC6" s="35" t="str">
        <f t="shared" si="4"/>
        <v>F</v>
      </c>
      <c r="BD6" s="35" t="str">
        <f t="shared" si="4"/>
        <v>S</v>
      </c>
      <c r="BE6" s="35" t="str">
        <f t="shared" si="4"/>
        <v>S</v>
      </c>
      <c r="BF6" s="35" t="str">
        <f t="shared" si="4"/>
        <v>M</v>
      </c>
      <c r="BG6" s="35" t="str">
        <f t="shared" si="4"/>
        <v>T</v>
      </c>
      <c r="BH6" s="35" t="str">
        <f t="shared" si="4"/>
        <v>W</v>
      </c>
      <c r="BI6" s="35" t="str">
        <f t="shared" si="4"/>
        <v>T</v>
      </c>
      <c r="BJ6" s="35" t="str">
        <f t="shared" si="4"/>
        <v>F</v>
      </c>
      <c r="BK6" s="35" t="str">
        <f t="shared" si="4"/>
        <v>S</v>
      </c>
      <c r="BL6" s="36" t="str">
        <f t="shared" si="4"/>
        <v>S</v>
      </c>
    </row>
    <row r="7" spans="1:64" s="26" customFormat="1" ht="30" hidden="1" customHeight="1" thickBot="1" x14ac:dyDescent="0.3">
      <c r="A7" s="13" t="s">
        <v>11</v>
      </c>
      <c r="B7" s="37"/>
      <c r="C7" s="38"/>
      <c r="D7" s="37"/>
      <c r="E7" s="37"/>
      <c r="F7" s="37"/>
      <c r="H7" s="26" t="str">
        <f>IF(OR(ISBLANK(task_start),ISBLANK(task_end)),"",task_end-task_start+1)</f>
        <v/>
      </c>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row>
    <row r="8" spans="1:64" s="46" customFormat="1" ht="30" customHeight="1" thickBot="1" x14ac:dyDescent="0.3">
      <c r="A8" s="14"/>
      <c r="B8" s="40" t="s">
        <v>28</v>
      </c>
      <c r="C8" s="41"/>
      <c r="D8" s="42"/>
      <c r="E8" s="43"/>
      <c r="F8" s="44"/>
      <c r="G8" s="17"/>
      <c r="H8" s="5" t="str">
        <f t="shared" ref="H8:H26" si="5">IF(OR(ISBLANK(task_start),ISBLANK(task_end)),"",task_end-task_start+1)</f>
        <v/>
      </c>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row>
    <row r="9" spans="1:64" s="46" customFormat="1" ht="30" customHeight="1" thickBot="1" x14ac:dyDescent="0.3">
      <c r="A9" s="14"/>
      <c r="B9" s="47" t="s">
        <v>29</v>
      </c>
      <c r="C9" s="48" t="s">
        <v>31</v>
      </c>
      <c r="D9" s="49">
        <v>0</v>
      </c>
      <c r="E9" s="50">
        <v>46083</v>
      </c>
      <c r="F9" s="50">
        <v>46090</v>
      </c>
      <c r="G9" s="17"/>
      <c r="H9" s="5">
        <f t="shared" si="5"/>
        <v>8</v>
      </c>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row>
    <row r="10" spans="1:64" s="46" customFormat="1" ht="30" customHeight="1" thickBot="1" x14ac:dyDescent="0.3">
      <c r="A10" s="14"/>
      <c r="B10" s="52" t="s">
        <v>30</v>
      </c>
      <c r="C10" s="48" t="s">
        <v>31</v>
      </c>
      <c r="D10" s="53">
        <v>0</v>
      </c>
      <c r="E10" s="54">
        <f>F9+1</f>
        <v>46091</v>
      </c>
      <c r="F10" s="54">
        <v>46093</v>
      </c>
      <c r="G10" s="17"/>
      <c r="H10" s="5">
        <f t="shared" si="5"/>
        <v>3</v>
      </c>
      <c r="I10" s="51"/>
      <c r="J10" s="51"/>
      <c r="K10" s="51"/>
      <c r="L10" s="51"/>
      <c r="M10" s="51"/>
      <c r="N10" s="51"/>
      <c r="O10" s="51"/>
      <c r="P10" s="51"/>
      <c r="Q10" s="51"/>
      <c r="R10" s="51"/>
      <c r="S10" s="51"/>
      <c r="T10" s="51"/>
      <c r="U10" s="55"/>
      <c r="V10" s="55"/>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row>
    <row r="11" spans="1:64" s="46" customFormat="1" ht="30" customHeight="1" thickBot="1" x14ac:dyDescent="0.3">
      <c r="A11" s="13"/>
      <c r="B11" s="52"/>
      <c r="C11" s="48"/>
      <c r="D11" s="53"/>
      <c r="E11" s="54"/>
      <c r="F11" s="54"/>
      <c r="G11" s="17"/>
      <c r="H11" s="5" t="str">
        <f t="shared" si="5"/>
        <v/>
      </c>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row>
    <row r="12" spans="1:64" s="46" customFormat="1" ht="30" customHeight="1" thickBot="1" x14ac:dyDescent="0.3">
      <c r="A12" s="14"/>
      <c r="B12" s="56" t="s">
        <v>32</v>
      </c>
      <c r="C12" s="57"/>
      <c r="D12" s="58"/>
      <c r="E12" s="59"/>
      <c r="F12" s="60"/>
      <c r="G12" s="17"/>
      <c r="H12" s="5" t="str">
        <f t="shared" si="5"/>
        <v/>
      </c>
    </row>
    <row r="13" spans="1:64" s="46" customFormat="1" ht="30" customHeight="1" thickBot="1" x14ac:dyDescent="0.3">
      <c r="A13" s="14"/>
      <c r="B13" s="61" t="s">
        <v>33</v>
      </c>
      <c r="C13" s="62" t="s">
        <v>44</v>
      </c>
      <c r="D13" s="63">
        <v>0</v>
      </c>
      <c r="E13" s="64">
        <v>46080</v>
      </c>
      <c r="F13" s="64">
        <v>46094</v>
      </c>
      <c r="G13" s="17"/>
      <c r="H13" s="5">
        <f t="shared" si="5"/>
        <v>15</v>
      </c>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row>
    <row r="14" spans="1:64" s="46" customFormat="1" ht="30" customHeight="1" thickBot="1" x14ac:dyDescent="0.3">
      <c r="A14" s="13"/>
      <c r="B14" s="61" t="s">
        <v>34</v>
      </c>
      <c r="C14" s="62" t="s">
        <v>44</v>
      </c>
      <c r="D14" s="63">
        <v>0</v>
      </c>
      <c r="E14" s="64">
        <f>F13+1</f>
        <v>46095</v>
      </c>
      <c r="F14" s="64">
        <v>46100</v>
      </c>
      <c r="G14" s="17"/>
      <c r="H14" s="5">
        <f t="shared" si="5"/>
        <v>6</v>
      </c>
      <c r="I14" s="51"/>
      <c r="J14" s="51"/>
      <c r="K14" s="51"/>
      <c r="L14" s="51"/>
      <c r="M14" s="51"/>
      <c r="N14" s="51"/>
      <c r="O14" s="51"/>
      <c r="P14" s="51"/>
      <c r="Q14" s="51"/>
      <c r="R14" s="51"/>
      <c r="S14" s="51"/>
      <c r="T14" s="51"/>
      <c r="U14" s="55"/>
      <c r="V14" s="55"/>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row>
    <row r="15" spans="1:64" s="46" customFormat="1" ht="30" customHeight="1" thickBot="1" x14ac:dyDescent="0.3">
      <c r="A15" s="13"/>
      <c r="B15" s="61" t="s">
        <v>35</v>
      </c>
      <c r="C15" s="62" t="s">
        <v>44</v>
      </c>
      <c r="D15" s="63">
        <v>0</v>
      </c>
      <c r="E15" s="64">
        <f>$F$13+1</f>
        <v>46095</v>
      </c>
      <c r="F15" s="64">
        <v>46101</v>
      </c>
      <c r="G15" s="17"/>
      <c r="H15" s="5">
        <f t="shared" si="5"/>
        <v>7</v>
      </c>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row>
    <row r="16" spans="1:64" s="46" customFormat="1" ht="30" customHeight="1" thickBot="1" x14ac:dyDescent="0.3">
      <c r="A16" s="13"/>
      <c r="B16" s="61" t="s">
        <v>36</v>
      </c>
      <c r="C16" s="62" t="s">
        <v>44</v>
      </c>
      <c r="D16" s="63">
        <v>0</v>
      </c>
      <c r="E16" s="64">
        <f t="shared" ref="E16:E18" si="6">$F$13+1</f>
        <v>46095</v>
      </c>
      <c r="F16" s="64">
        <v>46102</v>
      </c>
      <c r="G16" s="17"/>
      <c r="H16" s="5">
        <f t="shared" si="5"/>
        <v>8</v>
      </c>
      <c r="I16" s="51"/>
      <c r="J16" s="51"/>
      <c r="K16" s="51"/>
      <c r="L16" s="51"/>
      <c r="M16" s="51"/>
      <c r="N16" s="51"/>
      <c r="O16" s="51"/>
      <c r="P16" s="51"/>
      <c r="Q16" s="51"/>
      <c r="R16" s="51"/>
      <c r="S16" s="51"/>
      <c r="T16" s="51"/>
      <c r="U16" s="51"/>
      <c r="V16" s="51"/>
      <c r="W16" s="51"/>
      <c r="X16" s="51"/>
      <c r="Y16" s="55"/>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row>
    <row r="17" spans="1:64" s="46" customFormat="1" ht="30" customHeight="1" thickBot="1" x14ac:dyDescent="0.3">
      <c r="A17" s="13"/>
      <c r="B17" s="61" t="s">
        <v>35</v>
      </c>
      <c r="C17" s="62" t="s">
        <v>44</v>
      </c>
      <c r="D17" s="63">
        <v>0</v>
      </c>
      <c r="E17" s="64">
        <f t="shared" si="6"/>
        <v>46095</v>
      </c>
      <c r="F17" s="64">
        <v>46103</v>
      </c>
      <c r="G17" s="17"/>
      <c r="H17" s="5"/>
      <c r="I17" s="51"/>
      <c r="J17" s="51"/>
      <c r="K17" s="51"/>
      <c r="L17" s="51"/>
      <c r="M17" s="51"/>
      <c r="N17" s="51"/>
      <c r="O17" s="51"/>
      <c r="P17" s="51"/>
      <c r="Q17" s="51"/>
      <c r="R17" s="51"/>
      <c r="S17" s="51"/>
      <c r="T17" s="51"/>
      <c r="U17" s="51"/>
      <c r="V17" s="51"/>
      <c r="W17" s="51"/>
      <c r="X17" s="51"/>
      <c r="Y17" s="55"/>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row>
    <row r="18" spans="1:64" s="46" customFormat="1" ht="30" customHeight="1" thickBot="1" x14ac:dyDescent="0.3">
      <c r="A18" s="13"/>
      <c r="B18" s="61" t="s">
        <v>37</v>
      </c>
      <c r="C18" s="62" t="s">
        <v>44</v>
      </c>
      <c r="D18" s="63">
        <v>0</v>
      </c>
      <c r="E18" s="64">
        <f t="shared" si="6"/>
        <v>46095</v>
      </c>
      <c r="F18" s="64">
        <v>46104</v>
      </c>
      <c r="G18" s="17"/>
      <c r="H18" s="5">
        <f t="shared" si="5"/>
        <v>10</v>
      </c>
      <c r="I18" s="51"/>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row>
    <row r="19" spans="1:64" s="46" customFormat="1" ht="30" customHeight="1" thickBot="1" x14ac:dyDescent="0.3">
      <c r="A19" s="13"/>
      <c r="B19" s="65" t="s">
        <v>38</v>
      </c>
      <c r="C19" s="66"/>
      <c r="D19" s="67"/>
      <c r="E19" s="68"/>
      <c r="F19" s="69"/>
      <c r="G19" s="17"/>
      <c r="H19" s="5" t="str">
        <f t="shared" si="5"/>
        <v/>
      </c>
      <c r="I19" s="70"/>
      <c r="J19" s="70"/>
      <c r="K19" s="70"/>
      <c r="L19" s="70"/>
      <c r="M19" s="70"/>
      <c r="N19" s="70"/>
      <c r="O19" s="70"/>
      <c r="P19" s="70"/>
      <c r="Q19" s="70"/>
      <c r="R19" s="70"/>
      <c r="S19" s="70"/>
      <c r="T19" s="70"/>
      <c r="U19" s="70"/>
      <c r="V19" s="70"/>
      <c r="W19" s="70"/>
      <c r="X19" s="70"/>
      <c r="Y19" s="70"/>
      <c r="Z19" s="70"/>
      <c r="AA19" s="70"/>
      <c r="AB19" s="70"/>
      <c r="AC19" s="70"/>
      <c r="AD19" s="70"/>
      <c r="AE19" s="70"/>
      <c r="AF19" s="70"/>
      <c r="AG19" s="70"/>
      <c r="AH19" s="70"/>
      <c r="AI19" s="70"/>
      <c r="AJ19" s="70"/>
      <c r="AK19" s="70"/>
      <c r="AL19" s="70"/>
      <c r="AM19" s="70"/>
      <c r="AN19" s="70"/>
      <c r="AO19" s="70"/>
      <c r="AP19" s="70"/>
      <c r="AQ19" s="70"/>
      <c r="AR19" s="70"/>
      <c r="AS19" s="70"/>
      <c r="AT19" s="70"/>
      <c r="AU19" s="70"/>
      <c r="AV19" s="70"/>
      <c r="AW19" s="70"/>
      <c r="AX19" s="70"/>
      <c r="AY19" s="70"/>
      <c r="AZ19" s="70"/>
      <c r="BA19" s="70"/>
      <c r="BB19" s="70"/>
      <c r="BC19" s="70"/>
      <c r="BD19" s="70"/>
      <c r="BE19" s="70"/>
      <c r="BF19" s="70"/>
      <c r="BG19" s="70"/>
      <c r="BH19" s="70"/>
      <c r="BI19" s="70"/>
      <c r="BJ19" s="70"/>
      <c r="BK19" s="70"/>
      <c r="BL19" s="70"/>
    </row>
    <row r="20" spans="1:64" s="46" customFormat="1" ht="30" customHeight="1" thickBot="1" x14ac:dyDescent="0.3">
      <c r="A20" s="13"/>
      <c r="B20" s="71" t="s">
        <v>39</v>
      </c>
      <c r="C20" s="72" t="s">
        <v>44</v>
      </c>
      <c r="D20" s="73">
        <v>0</v>
      </c>
      <c r="E20" s="74">
        <v>46088</v>
      </c>
      <c r="F20" s="74">
        <v>46112</v>
      </c>
      <c r="G20" s="17"/>
      <c r="H20" s="5">
        <f t="shared" si="5"/>
        <v>25</v>
      </c>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row>
    <row r="21" spans="1:64" s="46" customFormat="1" ht="30" customHeight="1" thickBot="1" x14ac:dyDescent="0.3">
      <c r="A21" s="13"/>
      <c r="B21" s="71" t="s">
        <v>40</v>
      </c>
      <c r="C21" s="72" t="s">
        <v>44</v>
      </c>
      <c r="D21" s="73">
        <v>0</v>
      </c>
      <c r="E21" s="74">
        <v>46076</v>
      </c>
      <c r="F21" s="74">
        <v>46080</v>
      </c>
      <c r="G21" s="17"/>
      <c r="H21" s="5">
        <f t="shared" si="5"/>
        <v>5</v>
      </c>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row>
    <row r="22" spans="1:64" s="46" customFormat="1" ht="30" customHeight="1" thickBot="1" x14ac:dyDescent="0.3">
      <c r="A22" s="13"/>
      <c r="B22" s="71" t="s">
        <v>41</v>
      </c>
      <c r="C22" s="72" t="s">
        <v>44</v>
      </c>
      <c r="D22" s="73">
        <v>0</v>
      </c>
      <c r="E22" s="74">
        <v>46088</v>
      </c>
      <c r="F22" s="74">
        <v>46112</v>
      </c>
      <c r="G22" s="17"/>
      <c r="H22" s="5">
        <f t="shared" si="5"/>
        <v>25</v>
      </c>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row>
    <row r="23" spans="1:64" s="46" customFormat="1" ht="30" customHeight="1" thickBot="1" x14ac:dyDescent="0.3">
      <c r="A23" s="13"/>
      <c r="B23" s="71" t="s">
        <v>42</v>
      </c>
      <c r="C23" s="72" t="s">
        <v>44</v>
      </c>
      <c r="D23" s="73">
        <v>0</v>
      </c>
      <c r="E23" s="74">
        <f>F14+1</f>
        <v>46101</v>
      </c>
      <c r="F23" s="74">
        <v>46112</v>
      </c>
      <c r="G23" s="17"/>
      <c r="H23" s="5">
        <f t="shared" si="5"/>
        <v>12</v>
      </c>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row>
    <row r="24" spans="1:64" s="46" customFormat="1" ht="30" customHeight="1" thickBot="1" x14ac:dyDescent="0.3">
      <c r="A24" s="13"/>
      <c r="B24" s="71" t="s">
        <v>43</v>
      </c>
      <c r="C24" s="72" t="s">
        <v>44</v>
      </c>
      <c r="D24" s="73">
        <v>0</v>
      </c>
      <c r="E24" s="74">
        <v>46108</v>
      </c>
      <c r="F24" s="74">
        <v>46112</v>
      </c>
      <c r="G24" s="17"/>
      <c r="H24" s="5">
        <f t="shared" si="5"/>
        <v>5</v>
      </c>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row>
    <row r="25" spans="1:64" s="46" customFormat="1" ht="30" customHeight="1" thickBot="1" x14ac:dyDescent="0.3">
      <c r="A25" s="13"/>
      <c r="B25" s="75"/>
      <c r="C25" s="76"/>
      <c r="D25" s="77"/>
      <c r="E25" s="78"/>
      <c r="F25" s="78"/>
      <c r="G25" s="17"/>
      <c r="H25" s="5" t="str">
        <f t="shared" si="5"/>
        <v/>
      </c>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c r="AX25" s="45"/>
      <c r="AY25" s="45"/>
      <c r="AZ25" s="45"/>
      <c r="BA25" s="45"/>
      <c r="BB25" s="45"/>
      <c r="BC25" s="45"/>
      <c r="BD25" s="45"/>
      <c r="BE25" s="45"/>
      <c r="BF25" s="45"/>
      <c r="BG25" s="45"/>
      <c r="BH25" s="45"/>
      <c r="BI25" s="45"/>
      <c r="BJ25" s="45"/>
      <c r="BK25" s="45"/>
      <c r="BL25" s="45"/>
    </row>
    <row r="26" spans="1:64" s="46" customFormat="1" ht="30" customHeight="1" thickBot="1" x14ac:dyDescent="0.3">
      <c r="A26" s="14"/>
      <c r="B26" s="79" t="s">
        <v>12</v>
      </c>
      <c r="C26" s="80"/>
      <c r="D26" s="81"/>
      <c r="E26" s="82"/>
      <c r="F26" s="83"/>
      <c r="G26" s="17"/>
      <c r="H26" s="6" t="str">
        <f t="shared" si="5"/>
        <v/>
      </c>
      <c r="I26" s="84"/>
      <c r="J26" s="84"/>
      <c r="K26" s="84"/>
      <c r="L26" s="84"/>
      <c r="M26" s="84"/>
      <c r="N26" s="84"/>
      <c r="O26" s="84"/>
      <c r="P26" s="84"/>
      <c r="Q26" s="84"/>
      <c r="R26" s="84"/>
      <c r="S26" s="84"/>
      <c r="T26" s="84"/>
      <c r="U26" s="84"/>
      <c r="V26" s="84"/>
      <c r="W26" s="84"/>
      <c r="X26" s="84"/>
      <c r="Y26" s="84"/>
      <c r="Z26" s="84"/>
      <c r="AA26" s="84"/>
      <c r="AB26" s="84"/>
      <c r="AC26" s="84"/>
      <c r="AD26" s="84"/>
      <c r="AE26" s="84"/>
      <c r="AF26" s="84"/>
      <c r="AG26" s="84"/>
      <c r="AH26" s="84"/>
      <c r="AI26" s="84"/>
      <c r="AJ26" s="84"/>
      <c r="AK26" s="84"/>
      <c r="AL26" s="84"/>
      <c r="AM26" s="84"/>
      <c r="AN26" s="84"/>
      <c r="AO26" s="84"/>
      <c r="AP26" s="84"/>
      <c r="AQ26" s="84"/>
      <c r="AR26" s="84"/>
      <c r="AS26" s="84"/>
      <c r="AT26" s="84"/>
      <c r="AU26" s="84"/>
      <c r="AV26" s="84"/>
      <c r="AW26" s="84"/>
      <c r="AX26" s="84"/>
      <c r="AY26" s="84"/>
      <c r="AZ26" s="84"/>
      <c r="BA26" s="84"/>
      <c r="BB26" s="84"/>
      <c r="BC26" s="84"/>
      <c r="BD26" s="84"/>
      <c r="BE26" s="84"/>
      <c r="BF26" s="84"/>
      <c r="BG26" s="84"/>
      <c r="BH26" s="84"/>
      <c r="BI26" s="84"/>
      <c r="BJ26" s="84"/>
      <c r="BK26" s="84"/>
      <c r="BL26" s="84"/>
    </row>
    <row r="27" spans="1:64" ht="30" customHeight="1" x14ac:dyDescent="0.25">
      <c r="G27" s="3"/>
    </row>
    <row r="28" spans="1:64" ht="30" customHeight="1" x14ac:dyDescent="0.25">
      <c r="C28" s="16"/>
      <c r="F28" s="15"/>
    </row>
    <row r="29" spans="1:64" ht="30" customHeight="1" x14ac:dyDescent="0.25">
      <c r="C29" s="4"/>
    </row>
  </sheetData>
  <mergeCells count="18">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26">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24">
    <cfRule type="expression" dxfId="6" priority="1">
      <formula>AND(TODAY()&gt;=I$5, TODAY()&lt;J$5)</formula>
    </cfRule>
  </conditionalFormatting>
  <conditionalFormatting sqref="I9:BL11">
    <cfRule type="expression" dxfId="5" priority="6">
      <formula>AND(task_start&lt;=I$5,ROUNDDOWN((task_end-task_start+1)*task_progress,0)+task_start-1&gt;=I$5)</formula>
    </cfRule>
    <cfRule type="expression" dxfId="4" priority="7" stopIfTrue="1">
      <formula>AND(task_end&gt;=I$5,task_start&lt;J$5)</formula>
    </cfRule>
  </conditionalFormatting>
  <conditionalFormatting sqref="I13:BL18">
    <cfRule type="expression" dxfId="3" priority="4">
      <formula>AND(task_start&lt;=I$5,ROUNDDOWN((task_end-task_start+1)*task_progress,0)+task_start-1&gt;=I$5)</formula>
    </cfRule>
    <cfRule type="expression" dxfId="2" priority="5" stopIfTrue="1">
      <formula>AND(task_end&gt;=I$5,task_start&lt;J$5)</formula>
    </cfRule>
  </conditionalFormatting>
  <conditionalFormatting sqref="I20:BL24">
    <cfRule type="expression" dxfId="1" priority="2">
      <formula>AND(task_start&lt;=I$5,ROUNDDOWN((task_end-task_start+1)*task_progress,0)+task_start-1&gt;=I$5)</formula>
    </cfRule>
    <cfRule type="expression" dxfId="0" priority="3" stopIfTrue="1">
      <formula>AND(task_end&gt;=I$5,task_start&lt;J$5)</formula>
    </cfRule>
  </conditionalFormatting>
  <dataValidations count="12">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2" xr:uid="{4F48FC41-E335-47F1-87AA-3333A52AD81C}"/>
    <dataValidation allowBlank="1" showInputMessage="1" showErrorMessage="1" prompt="Phase 3's sample block starts in cell B20." sqref="A19" xr:uid="{956902D1-D3B5-416D-BB69-9362D193BC0A}"/>
    <dataValidation allowBlank="1" showInputMessage="1" showErrorMessage="1" prompt="This row marks the end of the Project Schedule. DO NOT enter anything in this row. _x000a_Insert new rows ABOVE this one to continue building out your Project Schedule." sqref="A26"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D7:D26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2" x14ac:dyDescent="0.25"/>
  <cols>
    <col min="1" max="1" width="87" style="7" customWidth="1"/>
    <col min="2" max="16384" width="9" style="1"/>
  </cols>
  <sheetData>
    <row r="1" spans="1:2" ht="46.5" customHeight="1" x14ac:dyDescent="0.25"/>
    <row r="2" spans="1:2" s="9" customFormat="1" ht="15.6" x14ac:dyDescent="0.25">
      <c r="A2" s="87" t="s">
        <v>4</v>
      </c>
      <c r="B2" s="8"/>
    </row>
    <row r="3" spans="1:2" s="11" customFormat="1" ht="27" customHeight="1" x14ac:dyDescent="0.25">
      <c r="A3" s="88"/>
      <c r="B3" s="12"/>
    </row>
    <row r="4" spans="1:2" s="10" customFormat="1" ht="30" x14ac:dyDescent="0.7">
      <c r="A4" s="89" t="s">
        <v>13</v>
      </c>
    </row>
    <row r="5" spans="1:2" ht="74.25" customHeight="1" x14ac:dyDescent="0.25">
      <c r="A5" s="90" t="s">
        <v>14</v>
      </c>
    </row>
    <row r="6" spans="1:2" ht="26.25" customHeight="1" x14ac:dyDescent="0.25">
      <c r="A6" s="89" t="s">
        <v>15</v>
      </c>
    </row>
    <row r="7" spans="1:2" s="7" customFormat="1" ht="204.9" customHeight="1" x14ac:dyDescent="0.25">
      <c r="A7" s="91" t="s">
        <v>16</v>
      </c>
    </row>
    <row r="8" spans="1:2" s="10" customFormat="1" ht="30" x14ac:dyDescent="0.7">
      <c r="A8" s="89" t="s">
        <v>17</v>
      </c>
    </row>
    <row r="9" spans="1:2" ht="41.4" x14ac:dyDescent="0.25">
      <c r="A9" s="90" t="s">
        <v>18</v>
      </c>
    </row>
    <row r="10" spans="1:2" s="7" customFormat="1" ht="27.9" customHeight="1" x14ac:dyDescent="0.25">
      <c r="A10" s="92" t="s">
        <v>19</v>
      </c>
    </row>
    <row r="11" spans="1:2" s="10" customFormat="1" ht="30" x14ac:dyDescent="0.7">
      <c r="A11" s="89" t="s">
        <v>20</v>
      </c>
    </row>
    <row r="12" spans="1:2" ht="27.6" x14ac:dyDescent="0.25">
      <c r="A12" s="90" t="s">
        <v>21</v>
      </c>
    </row>
    <row r="13" spans="1:2" s="7" customFormat="1" ht="27.9" customHeight="1" x14ac:dyDescent="0.25">
      <c r="A13" s="92" t="s">
        <v>22</v>
      </c>
    </row>
    <row r="14" spans="1:2" s="10" customFormat="1" ht="30" x14ac:dyDescent="0.7">
      <c r="A14" s="89" t="s">
        <v>23</v>
      </c>
    </row>
    <row r="15" spans="1:2" ht="75" customHeight="1" x14ac:dyDescent="0.25">
      <c r="A15" s="90" t="s">
        <v>24</v>
      </c>
    </row>
    <row r="16" spans="1:2" ht="69" x14ac:dyDescent="0.25">
      <c r="A16" s="90" t="s">
        <v>25</v>
      </c>
    </row>
    <row r="17" spans="1:1" x14ac:dyDescent="0.25">
      <c r="A17" s="93"/>
    </row>
    <row r="18" spans="1:1" x14ac:dyDescent="0.25">
      <c r="A18" s="93"/>
    </row>
    <row r="19" spans="1:1" x14ac:dyDescent="0.25">
      <c r="A19" s="93"/>
    </row>
    <row r="20" spans="1:1" x14ac:dyDescent="0.25">
      <c r="A20" s="93"/>
    </row>
    <row r="21" spans="1:1" x14ac:dyDescent="0.25">
      <c r="A21" s="93"/>
    </row>
    <row r="22" spans="1:1" x14ac:dyDescent="0.25">
      <c r="A22" s="93"/>
    </row>
    <row r="23" spans="1:1" x14ac:dyDescent="0.25">
      <c r="A23" s="93"/>
    </row>
    <row r="24" spans="1:1" x14ac:dyDescent="0.25">
      <c r="A24" s="93"/>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2239A0-E68C-493F-BEE6-C77FEA397FD6}">
  <ds:schemaRefs>
    <ds:schemaRef ds:uri="http://schemas.microsoft.com/office/2006/metadata/properties"/>
    <ds:schemaRef ds:uri="71af3243-3dd4-4a8d-8c0d-dd76da1f02a5"/>
    <ds:schemaRef ds:uri="http://purl.org/dc/terms/"/>
    <ds:schemaRef ds:uri="http://www.w3.org/XML/1998/namespace"/>
    <ds:schemaRef ds:uri="http://schemas.microsoft.com/office/2006/documentManagement/types"/>
    <ds:schemaRef ds:uri="http://purl.org/dc/elements/1.1/"/>
    <ds:schemaRef ds:uri="http://purl.org/dc/dcmitype/"/>
    <ds:schemaRef ds:uri="http://schemas.microsoft.com/office/infopath/2007/PartnerControls"/>
    <ds:schemaRef ds:uri="http://schemas.microsoft.com/sharepoint/v3"/>
    <ds:schemaRef ds:uri="http://schemas.openxmlformats.org/package/2006/metadata/core-properties"/>
    <ds:schemaRef ds:uri="230e9df3-be65-4c73-a93b-d1236ebd677e"/>
    <ds:schemaRef ds:uri="16c05727-aa75-4e4a-9b5f-8a80a1165891"/>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Kaycie Lane</dc:creator>
  <cp:keywords/>
  <dc:description/>
  <cp:lastModifiedBy>Jacob Lamoureux</cp:lastModifiedBy>
  <cp:revision/>
  <dcterms:created xsi:type="dcterms:W3CDTF">2022-03-11T22:41:12Z</dcterms:created>
  <dcterms:modified xsi:type="dcterms:W3CDTF">2026-03-31T04:13:52Z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