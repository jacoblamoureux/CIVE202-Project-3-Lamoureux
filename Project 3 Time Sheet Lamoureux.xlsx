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49b30d93d0cb452/Classes/25-26 Semester 2/CIVE 202/Project 3/"/>
    </mc:Choice>
  </mc:AlternateContent>
  <xr:revisionPtr revIDLastSave="219" documentId="11_F25DC773A252ABDACC1048C1C15D76B25BDE58EC" xr6:coauthVersionLast="47" xr6:coauthVersionMax="47" xr10:uidLastSave="{0DCAA888-2CEB-4C1E-A6FE-B3B119B404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 a="1"/>
  <c r="F8" i="1" s="1"/>
  <c r="G8" i="1" s="1"/>
  <c r="H8" i="1" s="1"/>
  <c r="F4" i="1" a="1"/>
  <c r="F4" i="1" s="1"/>
  <c r="F5" i="1" a="1"/>
  <c r="F5" i="1" s="1"/>
  <c r="F9" i="1" a="1"/>
  <c r="F9" i="1" s="1"/>
  <c r="F3" i="1" a="1"/>
  <c r="F3" i="1" s="1"/>
  <c r="F10" i="1" a="1"/>
  <c r="F10" i="1" s="1"/>
  <c r="F11" i="1" a="1"/>
  <c r="F11" i="1" s="1"/>
  <c r="F13" i="1" a="1"/>
  <c r="F13" i="1" s="1"/>
  <c r="F6" i="1" a="1"/>
  <c r="F6" i="1" s="1"/>
  <c r="F7" i="1" a="1"/>
  <c r="F7" i="1" s="1"/>
  <c r="F12" i="1" a="1"/>
  <c r="F12" i="1" s="1"/>
  <c r="D19" i="1"/>
  <c r="D20" i="1"/>
  <c r="D18" i="1"/>
  <c r="G3" i="1" l="1"/>
  <c r="G9" i="1"/>
  <c r="H9" i="1" s="1"/>
  <c r="G12" i="1"/>
  <c r="H12" i="1" s="1"/>
  <c r="G5" i="1"/>
  <c r="H5" i="1" s="1"/>
  <c r="G7" i="1"/>
  <c r="H7" i="1" s="1"/>
  <c r="G4" i="1"/>
  <c r="H4" i="1" s="1"/>
  <c r="G6" i="1"/>
  <c r="H6" i="1" s="1"/>
  <c r="G13" i="1"/>
  <c r="H13" i="1" s="1"/>
  <c r="G11" i="1"/>
  <c r="H11" i="1" s="1"/>
  <c r="G10" i="1"/>
  <c r="H10" i="1" s="1"/>
  <c r="H3" i="1" l="1"/>
  <c r="I6" i="1" s="1"/>
  <c r="I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tc={32D01C08-F1BD-43C7-962F-2D4C0569BB21}</author>
  </authors>
  <commentList>
    <comment ref="B17" authorId="0" shapeId="0" xr:uid="{32D01C08-F1BD-43C7-962F-2D4C0569BB2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Note: Person 2 and Person 3 are both also Jacob, the differences in name are just for simulation because I wanted to create a more in depth Excel sheet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<sst xmlns="http://schemas.openxmlformats.org/spreadsheetml/2006/main" count="38" uniqueCount="26">
  <si>
    <t>Day</t>
  </si>
  <si>
    <t>Person</t>
  </si>
  <si>
    <t>Hours worked</t>
  </si>
  <si>
    <t>Tasks Completeted</t>
  </si>
  <si>
    <t>Hourly Rate</t>
  </si>
  <si>
    <t>Jacob</t>
  </si>
  <si>
    <t>Hourly rate</t>
  </si>
  <si>
    <t>Convert to USD?</t>
  </si>
  <si>
    <t>Create Github and ReadMe</t>
  </si>
  <si>
    <t>Person 3</t>
  </si>
  <si>
    <t>Person 2</t>
  </si>
  <si>
    <t>Lab One</t>
  </si>
  <si>
    <t>Lab Two</t>
  </si>
  <si>
    <t>Lab Three</t>
  </si>
  <si>
    <t>Create Gantt Chart</t>
  </si>
  <si>
    <t>Finalized code document</t>
  </si>
  <si>
    <t>Write Annotated Code Document</t>
  </si>
  <si>
    <t>Upload documents to Github</t>
  </si>
  <si>
    <t>Started work on report- wrote introductions and formatting</t>
  </si>
  <si>
    <t>Wrote methods section for report</t>
  </si>
  <si>
    <t>Finalized report with conclusions and graphs</t>
  </si>
  <si>
    <t>Compensation</t>
  </si>
  <si>
    <t>Project Total</t>
  </si>
  <si>
    <t>Total In USD</t>
  </si>
  <si>
    <t>Convert to USD</t>
  </si>
  <si>
    <t>Bitcoin to USD Conversion, as of 3/31/26, 12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</si>
</sst>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[$₿]\ #,##0.000000" x16r2:formatCode16="[$₿-x-xbt2]\ #,##0.000000"/>
    <numFmt numFmtId="169" formatCode="[$₿]\ #,##0.00000" x16r2:formatCode16="[$₿-x-xbt2]\ #,##0.00000"/>
    <numFmt numFmtId="172" formatCode="[$₿]\ #,##0.00" x16r2:formatCode16="[$₿-x-xbt2]\ #,##0.00"/>
    <numFmt numFmtId="178" formatCode="[$$-409]#,##0.00"/>
  </numFmts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169" fontId="0" fillId="0" borderId="0" xfId="0" applyNumberFormat="1"/>
    <xf numFmtId="172" fontId="0" fillId="0" borderId="0" xfId="0" applyNumberFormat="1"/>
    <xf numFmtId="14" fontId="0" fillId="0" borderId="0" xfId="0" applyNumberFormat="1"/>
    <xf numFmtId="178" fontId="0" fillId="0" borderId="0" xfId="0" applyNumberFormat="1"/>
  </cellXfs>
  <cellStyles count="1">
    <cellStyle name="Normal" xfId="0" builtinId="0"/>
  </cellStyles>
  <dxfs count="6">
    <dxf>
      <numFmt numFmtId="178" formatCode="[$$-409]#,##0.00"/>
    </dxf>
    <dxf>
      <numFmt numFmtId="165" formatCode="[$₿]\ #,##0.000000" x16r2:formatCode16="[$₿-x-xbt2]\ #,##0.000000"/>
    </dxf>
    <dxf>
      <numFmt numFmtId="169" formatCode="[$₿]\ #,##0.00000" x16r2:formatCode16="[$₿-x-xbt2]\ #,##0.00000"/>
    </dxf>
    <dxf>
      <numFmt numFmtId="19" formatCode="m/d/yyyy"/>
    </dxf>
    <dxf>
      <numFmt numFmtId="172" formatCode="[$₿]\ #,##0.00" x16r2:formatCode16="[$₿-x-xbt2]\ #,##0.00"/>
    </dxf>
    <dxf>
      <numFmt numFmtId="165" formatCode="[$₿]\ #,##0.000000" x16r2:formatCode16="[$₿-x-xbt2]\ #,##0.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cob Lamoureux" id="{FFBBED72-E0D1-44D7-B108-F347F7CBAA6A}" userId="c49b30d93d0cb452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240150-3B36-4940-A1F7-9B903704910B}" name="Table2" displayName="Table2" ref="B2:H13" totalsRowShown="0">
  <autoFilter ref="B2:H13" xr:uid="{67240150-3B36-4940-A1F7-9B903704910B}"/>
  <sortState xmlns:xlrd2="http://schemas.microsoft.com/office/spreadsheetml/2017/richdata2" ref="B3:H13">
    <sortCondition ref="B2:B13"/>
  </sortState>
  <tableColumns count="7">
    <tableColumn id="1" xr3:uid="{AF3D9E15-3515-4417-86C9-5B7199D45F72}" name="Day" dataDxfId="3"/>
    <tableColumn id="2" xr3:uid="{1BCEFB89-A95A-4F78-A8A8-067190B9D7DF}" name="Person"/>
    <tableColumn id="3" xr3:uid="{471DBDFC-AD18-4B5C-9339-0A2957FB8F4D}" name="Hours worked"/>
    <tableColumn id="4" xr3:uid="{D0374F89-D9AE-4406-83D9-E3E923F073BE}" name="Tasks Completeted"/>
    <tableColumn id="5" xr3:uid="{9FDA7413-9FE1-4E03-A0D9-7F187E807096}" name="Hourly Rate" dataDxfId="2">
      <calculatedColumnFormula array="1">_xlfn.SINGLE(_xlfn.XLOOKUP(Table2[Person],Table3[Person],Table3[Hourly rate]))</calculatedColumnFormula>
    </tableColumn>
    <tableColumn id="6" xr3:uid="{DD5BA6BC-746E-4753-B7BA-8F426D66BCD6}" name="Compensation" dataDxfId="1">
      <calculatedColumnFormula>D3*F3</calculatedColumnFormula>
    </tableColumn>
    <tableColumn id="7" xr3:uid="{F90D2DB8-A75E-4313-BBD0-3ADEE58BDF45}" name="Convert to USD" dataDxfId="0">
      <calculatedColumnFormula>G3*$K$3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1340F9-671D-485C-9391-13914065D2E5}" name="Table3" displayName="Table3" ref="B17:D20" totalsRowShown="0">
  <autoFilter ref="B17:D20" xr:uid="{651340F9-671D-485C-9391-13914065D2E5}"/>
  <tableColumns count="3">
    <tableColumn id="1" xr3:uid="{B5B9EA02-F171-41AD-A1B0-10FC8E7C31C8}" name="Person"/>
    <tableColumn id="2" xr3:uid="{1391D68C-838C-49F8-8D64-2F7758871F10}" name="Hourly rate" dataDxfId="5"/>
    <tableColumn id="3" xr3:uid="{3520608D-DFBE-430A-8377-FF32B983CE7C}" name="Convert to USD?" dataDxfId="4">
      <calculatedColumnFormula>C18*$K$3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7" dT="2026-03-31T16:59:25.71" personId="{FFBBED72-E0D1-44D7-B108-F347F7CBAA6A}" id="{32D01C08-F1BD-43C7-962F-2D4C0569BB21}">
    <text>Note: Person 2 and Person 3 are both also Jacob, the differences in name are just for simulation because I wanted to create a more in depth Excel sheet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3"/>
  <sheetViews>
    <sheetView tabSelected="1" workbookViewId="0">
      <selection activeCell="K3" sqref="K3"/>
    </sheetView>
  </sheetViews>
  <sheetFormatPr defaultRowHeight="14.4" x14ac:dyDescent="0.3"/>
  <cols>
    <col min="2" max="2" width="9.5546875" bestFit="1" customWidth="1"/>
    <col min="3" max="3" width="12.5546875" bestFit="1" customWidth="1"/>
    <col min="4" max="4" width="14.5546875" customWidth="1"/>
    <col min="5" max="5" width="50.44140625" bestFit="1" customWidth="1"/>
    <col min="6" max="6" width="12.6640625" customWidth="1"/>
    <col min="7" max="7" width="15.109375" customWidth="1"/>
    <col min="8" max="8" width="16.6640625" customWidth="1"/>
    <col min="9" max="9" width="16" customWidth="1"/>
    <col min="10" max="10" width="10.5546875" customWidth="1"/>
  </cols>
  <sheetData>
    <row r="2" spans="2:11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21</v>
      </c>
      <c r="H2" t="s">
        <v>24</v>
      </c>
      <c r="I2" t="s">
        <v>22</v>
      </c>
      <c r="K2" t="s">
        <v>25</v>
      </c>
    </row>
    <row r="3" spans="2:11" x14ac:dyDescent="0.3">
      <c r="B3" s="4">
        <v>46076</v>
      </c>
      <c r="C3" t="s">
        <v>10</v>
      </c>
      <c r="D3">
        <v>1.5</v>
      </c>
      <c r="E3" t="s">
        <v>14</v>
      </c>
      <c r="F3" s="2" cm="1">
        <f t="array" ref="F3">_xlfn.SINGLE(_xlfn.XLOOKUP(Table2[Person],Table3[Person],Table3[Hourly rate]))</f>
        <v>4.0000000000000002E-4</v>
      </c>
      <c r="G3" s="1">
        <f>D3*F3</f>
        <v>6.0000000000000006E-4</v>
      </c>
      <c r="H3" s="5">
        <f>G3*$K$3</f>
        <v>40.503960000000006</v>
      </c>
      <c r="I3" s="2">
        <f>SUM(Table2[Compensation])</f>
        <v>7.4000000000000012E-3</v>
      </c>
      <c r="K3">
        <v>67506.600000000006</v>
      </c>
    </row>
    <row r="4" spans="2:11" x14ac:dyDescent="0.3">
      <c r="B4" s="4">
        <v>46087</v>
      </c>
      <c r="C4" t="s">
        <v>5</v>
      </c>
      <c r="D4">
        <v>2</v>
      </c>
      <c r="E4" t="s">
        <v>11</v>
      </c>
      <c r="F4" s="2" cm="1">
        <f t="array" ref="F4">_xlfn.SINGLE(_xlfn.XLOOKUP(Table2[Person],Table3[Person],Table3[Hourly rate]))</f>
        <v>4.0000000000000002E-4</v>
      </c>
      <c r="G4" s="1">
        <f>D4*F4</f>
        <v>8.0000000000000004E-4</v>
      </c>
      <c r="H4" s="5">
        <f>G4*$K$3</f>
        <v>54.005280000000006</v>
      </c>
    </row>
    <row r="5" spans="2:11" x14ac:dyDescent="0.3">
      <c r="B5" s="4">
        <v>46094</v>
      </c>
      <c r="C5" t="s">
        <v>5</v>
      </c>
      <c r="D5">
        <v>2</v>
      </c>
      <c r="E5" t="s">
        <v>12</v>
      </c>
      <c r="F5" s="2" cm="1">
        <f t="array" ref="F5">_xlfn.SINGLE(_xlfn.XLOOKUP(Table2[Person],Table3[Person],Table3[Hourly rate]))</f>
        <v>4.0000000000000002E-4</v>
      </c>
      <c r="G5" s="1">
        <f>D5*F5</f>
        <v>8.0000000000000004E-4</v>
      </c>
      <c r="H5" s="5">
        <f>G5*$K$3</f>
        <v>54.005280000000006</v>
      </c>
      <c r="I5" t="s">
        <v>23</v>
      </c>
    </row>
    <row r="6" spans="2:11" x14ac:dyDescent="0.3">
      <c r="B6" s="4">
        <v>46104</v>
      </c>
      <c r="C6" t="s">
        <v>9</v>
      </c>
      <c r="D6">
        <v>1</v>
      </c>
      <c r="E6" t="s">
        <v>18</v>
      </c>
      <c r="F6" s="2" cm="1">
        <f t="array" ref="F6">_xlfn.SINGLE(_xlfn.XLOOKUP(Table2[Person],Table3[Person],Table3[Hourly rate]))</f>
        <v>4.0000000000000002E-4</v>
      </c>
      <c r="G6" s="1">
        <f>D6*F6</f>
        <v>4.0000000000000002E-4</v>
      </c>
      <c r="H6" s="5">
        <f>G6*$K$3</f>
        <v>27.002640000000003</v>
      </c>
      <c r="I6" s="5">
        <f>SUM(Table2[Convert to USD])</f>
        <v>499.54884000000004</v>
      </c>
    </row>
    <row r="7" spans="2:11" x14ac:dyDescent="0.3">
      <c r="B7" s="4">
        <v>46106</v>
      </c>
      <c r="C7" t="s">
        <v>5</v>
      </c>
      <c r="D7">
        <v>1.5</v>
      </c>
      <c r="E7" t="s">
        <v>19</v>
      </c>
      <c r="F7" s="2" cm="1">
        <f t="array" ref="F7">_xlfn.SINGLE(_xlfn.XLOOKUP(Table2[Person],Table3[Person],Table3[Hourly rate]))</f>
        <v>4.0000000000000002E-4</v>
      </c>
      <c r="G7" s="1">
        <f>D7*F7</f>
        <v>6.0000000000000006E-4</v>
      </c>
      <c r="H7" s="5">
        <f>G7*$K$3</f>
        <v>40.503960000000006</v>
      </c>
    </row>
    <row r="8" spans="2:11" x14ac:dyDescent="0.3">
      <c r="B8" s="4">
        <v>46108</v>
      </c>
      <c r="C8" t="s">
        <v>5</v>
      </c>
      <c r="D8">
        <v>1.5</v>
      </c>
      <c r="E8" t="s">
        <v>8</v>
      </c>
      <c r="F8" s="2" cm="1">
        <f t="array" ref="F8">_xlfn.SINGLE(_xlfn.XLOOKUP(Table2[Person],Table3[Person],Table3[Hourly rate]))</f>
        <v>4.0000000000000002E-4</v>
      </c>
      <c r="G8" s="1">
        <f>D8*F8</f>
        <v>6.0000000000000006E-4</v>
      </c>
      <c r="H8" s="5">
        <f>G8*$K$3</f>
        <v>40.503960000000006</v>
      </c>
    </row>
    <row r="9" spans="2:11" x14ac:dyDescent="0.3">
      <c r="B9" s="4">
        <v>46108</v>
      </c>
      <c r="C9" t="s">
        <v>5</v>
      </c>
      <c r="D9">
        <v>1</v>
      </c>
      <c r="E9" t="s">
        <v>13</v>
      </c>
      <c r="F9" s="2" cm="1">
        <f t="array" ref="F9">_xlfn.SINGLE(_xlfn.XLOOKUP(Table2[Person],Table3[Person],Table3[Hourly rate]))</f>
        <v>4.0000000000000002E-4</v>
      </c>
      <c r="G9" s="1">
        <f>D9*F9</f>
        <v>4.0000000000000002E-4</v>
      </c>
      <c r="H9" s="5">
        <f>G9*$K$3</f>
        <v>27.002640000000003</v>
      </c>
    </row>
    <row r="10" spans="2:11" x14ac:dyDescent="0.3">
      <c r="B10" s="4">
        <v>46109</v>
      </c>
      <c r="C10" t="s">
        <v>9</v>
      </c>
      <c r="D10">
        <v>2</v>
      </c>
      <c r="E10" t="s">
        <v>15</v>
      </c>
      <c r="F10" s="2" cm="1">
        <f t="array" ref="F10">_xlfn.SINGLE(_xlfn.XLOOKUP(Table2[Person],Table3[Person],Table3[Hourly rate]))</f>
        <v>4.0000000000000002E-4</v>
      </c>
      <c r="G10" s="1">
        <f>D10*F10</f>
        <v>8.0000000000000004E-4</v>
      </c>
      <c r="H10" s="5">
        <f>G10*$K$3</f>
        <v>54.005280000000006</v>
      </c>
    </row>
    <row r="11" spans="2:11" x14ac:dyDescent="0.3">
      <c r="B11" s="4">
        <v>46109</v>
      </c>
      <c r="C11" t="s">
        <v>10</v>
      </c>
      <c r="D11">
        <v>2.5</v>
      </c>
      <c r="E11" t="s">
        <v>16</v>
      </c>
      <c r="F11" s="2" cm="1">
        <f t="array" ref="F11">_xlfn.SINGLE(_xlfn.XLOOKUP(Table2[Person],Table3[Person],Table3[Hourly rate]))</f>
        <v>4.0000000000000002E-4</v>
      </c>
      <c r="G11" s="1">
        <f>D11*F11</f>
        <v>1E-3</v>
      </c>
      <c r="H11" s="5">
        <f>G11*$K$3</f>
        <v>67.506600000000006</v>
      </c>
    </row>
    <row r="12" spans="2:11" x14ac:dyDescent="0.3">
      <c r="B12" s="4">
        <v>46110</v>
      </c>
      <c r="C12" t="s">
        <v>10</v>
      </c>
      <c r="D12">
        <v>3</v>
      </c>
      <c r="E12" t="s">
        <v>20</v>
      </c>
      <c r="F12" s="2" cm="1">
        <f t="array" ref="F12">_xlfn.SINGLE(_xlfn.XLOOKUP(Table2[Person],Table3[Person],Table3[Hourly rate]))</f>
        <v>4.0000000000000002E-4</v>
      </c>
      <c r="G12" s="1">
        <f>D12*F12</f>
        <v>1.2000000000000001E-3</v>
      </c>
      <c r="H12" s="5">
        <f>G12*$K$3</f>
        <v>81.007920000000013</v>
      </c>
    </row>
    <row r="13" spans="2:11" x14ac:dyDescent="0.3">
      <c r="B13" s="4">
        <v>46111</v>
      </c>
      <c r="C13" t="s">
        <v>5</v>
      </c>
      <c r="D13">
        <v>0.5</v>
      </c>
      <c r="E13" t="s">
        <v>17</v>
      </c>
      <c r="F13" s="2" cm="1">
        <f t="array" ref="F13">_xlfn.SINGLE(_xlfn.XLOOKUP(Table2[Person],Table3[Person],Table3[Hourly rate]))</f>
        <v>4.0000000000000002E-4</v>
      </c>
      <c r="G13" s="1">
        <f>D13*F13</f>
        <v>2.0000000000000001E-4</v>
      </c>
      <c r="H13" s="5">
        <f>G13*$K$3</f>
        <v>13.501320000000002</v>
      </c>
    </row>
    <row r="14" spans="2:11" x14ac:dyDescent="0.3">
      <c r="F14" s="2"/>
      <c r="G14" s="1"/>
      <c r="H14" s="3"/>
    </row>
    <row r="15" spans="2:11" x14ac:dyDescent="0.3">
      <c r="F15" s="2"/>
      <c r="G15" s="1"/>
      <c r="H15" s="3"/>
    </row>
    <row r="16" spans="2:11" x14ac:dyDescent="0.3">
      <c r="F16" s="2"/>
      <c r="G16" s="1"/>
      <c r="H16" s="3"/>
    </row>
    <row r="17" spans="2:8" x14ac:dyDescent="0.3">
      <c r="B17" t="s">
        <v>1</v>
      </c>
      <c r="C17" t="s">
        <v>6</v>
      </c>
      <c r="D17" t="s">
        <v>7</v>
      </c>
      <c r="F17" s="2"/>
      <c r="G17" s="1"/>
      <c r="H17" s="3"/>
    </row>
    <row r="18" spans="2:8" x14ac:dyDescent="0.3">
      <c r="B18" t="s">
        <v>5</v>
      </c>
      <c r="C18" s="1">
        <v>7.3999999999999999E-4</v>
      </c>
      <c r="D18" s="3">
        <f>C18*$K$3</f>
        <v>49.954884000000007</v>
      </c>
      <c r="F18" s="2"/>
      <c r="G18" s="1"/>
      <c r="H18" s="3"/>
    </row>
    <row r="19" spans="2:8" x14ac:dyDescent="0.3">
      <c r="B19" t="s">
        <v>10</v>
      </c>
      <c r="C19" s="1">
        <v>4.0000000000000002E-4</v>
      </c>
      <c r="D19" s="3">
        <f t="shared" ref="D19:D20" si="0">C19*$K$3</f>
        <v>27.002640000000003</v>
      </c>
      <c r="F19" s="2"/>
      <c r="G19" s="1"/>
      <c r="H19" s="3"/>
    </row>
    <row r="20" spans="2:8" x14ac:dyDescent="0.3">
      <c r="B20" t="s">
        <v>9</v>
      </c>
      <c r="C20" s="1">
        <v>8.0000000000000002E-3</v>
      </c>
      <c r="D20" s="3">
        <f t="shared" si="0"/>
        <v>540.05280000000005</v>
      </c>
      <c r="F20" s="2"/>
      <c r="G20" s="1"/>
      <c r="H20" s="3"/>
    </row>
    <row r="21" spans="2:8" x14ac:dyDescent="0.3">
      <c r="F21" s="2"/>
      <c r="G21" s="1"/>
      <c r="H21" s="3"/>
    </row>
    <row r="22" spans="2:8" x14ac:dyDescent="0.3">
      <c r="F22" s="2"/>
      <c r="G22" s="1"/>
      <c r="H22" s="3"/>
    </row>
    <row r="23" spans="2:8" x14ac:dyDescent="0.3">
      <c r="F23" s="2"/>
      <c r="G23" s="1"/>
      <c r="H23" s="3"/>
    </row>
    <row r="24" spans="2:8" x14ac:dyDescent="0.3">
      <c r="F24" s="2"/>
      <c r="G24" s="1"/>
    </row>
    <row r="25" spans="2:8" x14ac:dyDescent="0.3">
      <c r="F25" s="2"/>
      <c r="G25" s="1"/>
    </row>
    <row r="26" spans="2:8" x14ac:dyDescent="0.3">
      <c r="F26" s="2"/>
      <c r="G26" s="1"/>
    </row>
    <row r="27" spans="2:8" x14ac:dyDescent="0.3">
      <c r="F27" s="2"/>
      <c r="G27" s="1"/>
    </row>
    <row r="28" spans="2:8" x14ac:dyDescent="0.3">
      <c r="F28" s="2"/>
    </row>
    <row r="29" spans="2:8" x14ac:dyDescent="0.3">
      <c r="F29" s="2"/>
    </row>
    <row r="30" spans="2:8" x14ac:dyDescent="0.3">
      <c r="F30" s="2"/>
    </row>
    <row r="31" spans="2:8" x14ac:dyDescent="0.3">
      <c r="F31" s="2"/>
    </row>
    <row r="32" spans="2:8" x14ac:dyDescent="0.3">
      <c r="F32" s="2"/>
    </row>
    <row r="33" spans="6:6" x14ac:dyDescent="0.3">
      <c r="F33" s="2"/>
    </row>
  </sheetData>
  <pageMargins left="0.7" right="0.7" top="0.75" bottom="0.75" header="0.3" footer="0.3"/>
  <legacy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Lamoureux</dc:creator>
  <cp:lastModifiedBy>Jacob Lamoureux</cp:lastModifiedBy>
  <dcterms:created xsi:type="dcterms:W3CDTF">2015-06-05T18:17:20Z</dcterms:created>
  <dcterms:modified xsi:type="dcterms:W3CDTF">2026-03-31T17:37:03Z</dcterms:modified>
</cp:coreProperties>
</file>